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lake\Documents\Junior Year\Embedded Systems\ES_Project_2\"/>
    </mc:Choice>
  </mc:AlternateContent>
  <bookViews>
    <workbookView xWindow="0" yWindow="0" windowWidth="21570" windowHeight="9435" tabRatio="500" activeTab="1"/>
  </bookViews>
  <sheets>
    <sheet name="Distance Chart" sheetId="2" r:id="rId1"/>
    <sheet name="Inverse Distance Chart" sheetId="3" r:id="rId2"/>
    <sheet name="Data" sheetId="1" r:id="rId3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9" i="1" l="1"/>
  <c r="C19" i="1"/>
  <c r="B19" i="1"/>
  <c r="F17" i="1"/>
  <c r="G17" i="1"/>
  <c r="H17" i="1"/>
  <c r="I17" i="1"/>
  <c r="J17" i="1"/>
  <c r="K17" i="1"/>
  <c r="L17" i="1"/>
  <c r="M17" i="1"/>
  <c r="E17" i="1"/>
  <c r="D8" i="1"/>
  <c r="E15" i="1"/>
  <c r="F15" i="1"/>
  <c r="G15" i="1"/>
  <c r="H15" i="1"/>
  <c r="I15" i="1"/>
  <c r="J15" i="1"/>
  <c r="K15" i="1"/>
  <c r="L15" i="1"/>
  <c r="M15" i="1"/>
  <c r="D15" i="1"/>
  <c r="E8" i="1"/>
  <c r="F8" i="1"/>
  <c r="G8" i="1"/>
  <c r="H8" i="1"/>
  <c r="I8" i="1"/>
  <c r="J8" i="1"/>
  <c r="K8" i="1"/>
  <c r="L8" i="1"/>
  <c r="M8" i="1"/>
  <c r="E2" i="1"/>
  <c r="F2" i="1"/>
  <c r="G2" i="1"/>
  <c r="H2" i="1"/>
  <c r="I2" i="1"/>
  <c r="J2" i="1"/>
  <c r="K2" i="1"/>
  <c r="L2" i="1"/>
  <c r="M2" i="1"/>
  <c r="D2" i="1"/>
</calcChain>
</file>

<file path=xl/sharedStrings.xml><?xml version="1.0" encoding="utf-8"?>
<sst xmlns="http://schemas.openxmlformats.org/spreadsheetml/2006/main" count="10" uniqueCount="9">
  <si>
    <t>cm</t>
  </si>
  <si>
    <t>in</t>
  </si>
  <si>
    <t>avg</t>
  </si>
  <si>
    <t>LEFT</t>
  </si>
  <si>
    <t>RIGHT</t>
  </si>
  <si>
    <t>inv distance</t>
  </si>
  <si>
    <t>Custom Linear Fit</t>
  </si>
  <si>
    <t>actual value LEFT</t>
  </si>
  <si>
    <t>actual value (RIGHT)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</si>
</sst>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Sensor</a:t>
            </a:r>
            <a:r>
              <a:rPr lang="en-US" baseline="0"/>
              <a:t> Distance vs. Value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Left</c:v>
          </c:tx>
          <c:spPr>
            <a:ln w="47625">
              <a:noFill/>
            </a:ln>
          </c:spPr>
          <c:xVal>
            <c:numRef>
              <c:f>Data!$E$1:$M$1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14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</c:numCache>
            </c:numRef>
          </c:xVal>
          <c:yVal>
            <c:numRef>
              <c:f>Data!$E$8:$M$8</c:f>
              <c:numCache>
                <c:formatCode>General</c:formatCode>
                <c:ptCount val="9"/>
                <c:pt idx="0">
                  <c:v>950</c:v>
                </c:pt>
                <c:pt idx="1">
                  <c:v>885</c:v>
                </c:pt>
                <c:pt idx="2">
                  <c:v>748.2</c:v>
                </c:pt>
                <c:pt idx="3">
                  <c:v>550</c:v>
                </c:pt>
                <c:pt idx="4">
                  <c:v>403</c:v>
                </c:pt>
                <c:pt idx="5">
                  <c:v>276.60000000000002</c:v>
                </c:pt>
                <c:pt idx="6">
                  <c:v>221</c:v>
                </c:pt>
                <c:pt idx="7">
                  <c:v>155</c:v>
                </c:pt>
                <c:pt idx="8">
                  <c:v>122</c:v>
                </c:pt>
              </c:numCache>
            </c:numRef>
          </c:yVal>
          <c:smooth val="0"/>
        </c:ser>
        <c:ser>
          <c:idx val="1"/>
          <c:order val="1"/>
          <c:tx>
            <c:v>Right</c:v>
          </c:tx>
          <c:spPr>
            <a:ln w="47625">
              <a:noFill/>
            </a:ln>
          </c:spPr>
          <c:xVal>
            <c:numRef>
              <c:f>Data!$E$1:$M$1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14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</c:numCache>
            </c:numRef>
          </c:xVal>
          <c:yVal>
            <c:numRef>
              <c:f>Data!$E$15:$M$15</c:f>
              <c:numCache>
                <c:formatCode>General</c:formatCode>
                <c:ptCount val="9"/>
                <c:pt idx="0">
                  <c:v>950</c:v>
                </c:pt>
                <c:pt idx="1">
                  <c:v>866.8</c:v>
                </c:pt>
                <c:pt idx="2">
                  <c:v>721.6</c:v>
                </c:pt>
                <c:pt idx="3">
                  <c:v>536</c:v>
                </c:pt>
                <c:pt idx="4">
                  <c:v>395.4</c:v>
                </c:pt>
                <c:pt idx="5">
                  <c:v>274</c:v>
                </c:pt>
                <c:pt idx="6">
                  <c:v>213</c:v>
                </c:pt>
                <c:pt idx="7">
                  <c:v>150</c:v>
                </c:pt>
                <c:pt idx="8">
                  <c:v>121.4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394896"/>
        <c:axId val="370397640"/>
      </c:scatterChart>
      <c:valAx>
        <c:axId val="37039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(cm)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0397640"/>
        <c:crosses val="autoZero"/>
        <c:crossBetween val="midCat"/>
      </c:valAx>
      <c:valAx>
        <c:axId val="370397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Sensor Value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0394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Inverse</a:t>
            </a:r>
            <a:r>
              <a:rPr lang="en-US" baseline="0"/>
              <a:t> Distance vs. Value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LEFT</c:v>
          </c:tx>
          <c:spPr>
            <a:ln w="47625">
              <a:noFill/>
            </a:ln>
          </c:spPr>
          <c:xVal>
            <c:numRef>
              <c:f>Data!$E$17:$M$17</c:f>
              <c:numCache>
                <c:formatCode>General</c:formatCode>
                <c:ptCount val="9"/>
                <c:pt idx="0">
                  <c:v>0.16666666666666666</c:v>
                </c:pt>
                <c:pt idx="1">
                  <c:v>0.125</c:v>
                </c:pt>
                <c:pt idx="2">
                  <c:v>0.1</c:v>
                </c:pt>
                <c:pt idx="3">
                  <c:v>7.1428571428571425E-2</c:v>
                </c:pt>
                <c:pt idx="4">
                  <c:v>0.05</c:v>
                </c:pt>
                <c:pt idx="5">
                  <c:v>3.3333333333333333E-2</c:v>
                </c:pt>
                <c:pt idx="6">
                  <c:v>2.5000000000000001E-2</c:v>
                </c:pt>
                <c:pt idx="7">
                  <c:v>1.6666666666666666E-2</c:v>
                </c:pt>
                <c:pt idx="8">
                  <c:v>1.2500000000000001E-2</c:v>
                </c:pt>
              </c:numCache>
            </c:numRef>
          </c:xVal>
          <c:yVal>
            <c:numRef>
              <c:f>Data!$E$8:$M$8</c:f>
              <c:numCache>
                <c:formatCode>General</c:formatCode>
                <c:ptCount val="9"/>
                <c:pt idx="0">
                  <c:v>950</c:v>
                </c:pt>
                <c:pt idx="1">
                  <c:v>885</c:v>
                </c:pt>
                <c:pt idx="2">
                  <c:v>748.2</c:v>
                </c:pt>
                <c:pt idx="3">
                  <c:v>550</c:v>
                </c:pt>
                <c:pt idx="4">
                  <c:v>403</c:v>
                </c:pt>
                <c:pt idx="5">
                  <c:v>276.60000000000002</c:v>
                </c:pt>
                <c:pt idx="6">
                  <c:v>221</c:v>
                </c:pt>
                <c:pt idx="7">
                  <c:v>155</c:v>
                </c:pt>
                <c:pt idx="8">
                  <c:v>122</c:v>
                </c:pt>
              </c:numCache>
            </c:numRef>
          </c:yVal>
          <c:smooth val="0"/>
        </c:ser>
        <c:ser>
          <c:idx val="1"/>
          <c:order val="1"/>
          <c:tx>
            <c:v>RIGHT</c:v>
          </c:tx>
          <c:spPr>
            <a:ln w="47625">
              <a:noFill/>
            </a:ln>
          </c:spPr>
          <c:xVal>
            <c:numRef>
              <c:f>Data!$E$17:$M$17</c:f>
              <c:numCache>
                <c:formatCode>General</c:formatCode>
                <c:ptCount val="9"/>
                <c:pt idx="0">
                  <c:v>0.16666666666666666</c:v>
                </c:pt>
                <c:pt idx="1">
                  <c:v>0.125</c:v>
                </c:pt>
                <c:pt idx="2">
                  <c:v>0.1</c:v>
                </c:pt>
                <c:pt idx="3">
                  <c:v>7.1428571428571425E-2</c:v>
                </c:pt>
                <c:pt idx="4">
                  <c:v>0.05</c:v>
                </c:pt>
                <c:pt idx="5">
                  <c:v>3.3333333333333333E-2</c:v>
                </c:pt>
                <c:pt idx="6">
                  <c:v>2.5000000000000001E-2</c:v>
                </c:pt>
                <c:pt idx="7">
                  <c:v>1.6666666666666666E-2</c:v>
                </c:pt>
                <c:pt idx="8">
                  <c:v>1.2500000000000001E-2</c:v>
                </c:pt>
              </c:numCache>
            </c:numRef>
          </c:xVal>
          <c:yVal>
            <c:numRef>
              <c:f>Data!$E$15:$M$15</c:f>
              <c:numCache>
                <c:formatCode>General</c:formatCode>
                <c:ptCount val="9"/>
                <c:pt idx="0">
                  <c:v>950</c:v>
                </c:pt>
                <c:pt idx="1">
                  <c:v>866.8</c:v>
                </c:pt>
                <c:pt idx="2">
                  <c:v>721.6</c:v>
                </c:pt>
                <c:pt idx="3">
                  <c:v>536</c:v>
                </c:pt>
                <c:pt idx="4">
                  <c:v>395.4</c:v>
                </c:pt>
                <c:pt idx="5">
                  <c:v>274</c:v>
                </c:pt>
                <c:pt idx="6">
                  <c:v>213</c:v>
                </c:pt>
                <c:pt idx="7">
                  <c:v>150</c:v>
                </c:pt>
                <c:pt idx="8">
                  <c:v>121.4</c:v>
                </c:pt>
              </c:numCache>
            </c:numRef>
          </c:yVal>
          <c:smooth val="0"/>
        </c:ser>
        <c:ser>
          <c:idx val="2"/>
          <c:order val="2"/>
          <c:tx>
            <c:v>Custom Fit LEFT</c:v>
          </c:tx>
          <c:spPr>
            <a:ln w="47625">
              <a:noFill/>
            </a:ln>
          </c:spPr>
          <c:xVal>
            <c:numRef>
              <c:f>Data!$B$19:$D$19</c:f>
              <c:numCache>
                <c:formatCode>General</c:formatCode>
                <c:ptCount val="3"/>
                <c:pt idx="0">
                  <c:v>0.16666666666666666</c:v>
                </c:pt>
                <c:pt idx="1">
                  <c:v>0.125</c:v>
                </c:pt>
                <c:pt idx="2">
                  <c:v>1.2500000000000001E-2</c:v>
                </c:pt>
              </c:numCache>
            </c:numRef>
          </c:xVal>
          <c:yVal>
            <c:numRef>
              <c:f>Data!$B$20:$D$20</c:f>
              <c:numCache>
                <c:formatCode>General</c:formatCode>
                <c:ptCount val="3"/>
                <c:pt idx="0">
                  <c:v>950</c:v>
                </c:pt>
                <c:pt idx="1">
                  <c:v>885</c:v>
                </c:pt>
                <c:pt idx="2">
                  <c:v>122</c:v>
                </c:pt>
              </c:numCache>
            </c:numRef>
          </c:yVal>
          <c:smooth val="0"/>
        </c:ser>
        <c:ser>
          <c:idx val="3"/>
          <c:order val="3"/>
          <c:tx>
            <c:v>Custom Fit RIGHT</c:v>
          </c:tx>
          <c:spPr>
            <a:ln w="47625">
              <a:noFill/>
            </a:ln>
          </c:spPr>
          <c:trendline>
            <c:spPr>
              <a:ln>
                <a:solidFill>
                  <a:schemeClr val="accent3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7.0633247372942617E-2"/>
                  <c:y val="0.45899881642675633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accent3"/>
                        </a:solidFill>
                      </a:defRPr>
                    </a:pPr>
                    <a:r>
                      <a:rPr lang="en-US" sz="1400" b="1" baseline="0">
                        <a:solidFill>
                          <a:schemeClr val="accent3"/>
                        </a:solidFill>
                      </a:rPr>
                      <a:t>y = 5636x + 74.643
R² = 0.97037</a:t>
                    </a:r>
                    <a:endParaRPr lang="en-US" sz="1400" b="1">
                      <a:solidFill>
                        <a:schemeClr val="accent3"/>
                      </a:solidFill>
                    </a:endParaRPr>
                  </a:p>
                </c:rich>
              </c:tx>
              <c:numFmt formatCode="General" sourceLinked="0"/>
            </c:trendlineLbl>
          </c:trendline>
          <c:trendline>
            <c:trendlineType val="linear"/>
            <c:dispRSqr val="1"/>
            <c:dispEq val="1"/>
            <c:trendlineLbl>
              <c:layout>
                <c:manualLayout>
                  <c:x val="7.238382196341718E-2"/>
                  <c:y val="0.31433752066401605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400" b="1" baseline="0"/>
                      <a:t>y = 5636x + 74.643
R² = 0.97037</a:t>
                    </a:r>
                    <a:endParaRPr lang="en-US" sz="1400" b="1"/>
                  </a:p>
                </c:rich>
              </c:tx>
              <c:numFmt formatCode="General" sourceLinked="0"/>
            </c:trendlineLbl>
          </c:trendline>
          <c:xVal>
            <c:numRef>
              <c:f>Data!$B$19:$D$19</c:f>
              <c:numCache>
                <c:formatCode>General</c:formatCode>
                <c:ptCount val="3"/>
                <c:pt idx="0">
                  <c:v>0.16666666666666666</c:v>
                </c:pt>
                <c:pt idx="1">
                  <c:v>0.125</c:v>
                </c:pt>
                <c:pt idx="2">
                  <c:v>1.2500000000000001E-2</c:v>
                </c:pt>
              </c:numCache>
            </c:numRef>
          </c:xVal>
          <c:yVal>
            <c:numRef>
              <c:f>Data!$B$21:$D$21</c:f>
              <c:numCache>
                <c:formatCode>General</c:formatCode>
                <c:ptCount val="3"/>
                <c:pt idx="0">
                  <c:v>950</c:v>
                </c:pt>
                <c:pt idx="1">
                  <c:v>866.8</c:v>
                </c:pt>
                <c:pt idx="2">
                  <c:v>121.4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43816"/>
        <c:axId val="95249304"/>
      </c:scatterChart>
      <c:valAx>
        <c:axId val="95243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Inverse Distance</a:t>
                </a:r>
                <a:r>
                  <a:rPr lang="en-US" baseline="0"/>
                  <a:t> (1/cm)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5249304"/>
        <c:crosses val="autoZero"/>
        <c:crossBetween val="midCat"/>
      </c:valAx>
      <c:valAx>
        <c:axId val="95249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Sensor Value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52438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75" workbookViewId="0" zoomToFit="1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75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482443" cy="47407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482443" cy="47407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D20" sqref="D20"/>
    </sheetView>
  </sheetViews>
  <sheetFormatPr defaultColWidth="11" defaultRowHeight="15.75" x14ac:dyDescent="0.25"/>
  <cols>
    <col min="1" max="1" width="17.625" bestFit="1" customWidth="1"/>
  </cols>
  <sheetData>
    <row r="1" spans="1:13" x14ac:dyDescent="0.25">
      <c r="B1" t="s">
        <v>0</v>
      </c>
      <c r="C1">
        <v>0</v>
      </c>
      <c r="D1">
        <v>5</v>
      </c>
      <c r="E1">
        <v>6</v>
      </c>
      <c r="F1">
        <v>8</v>
      </c>
      <c r="G1">
        <v>10</v>
      </c>
      <c r="H1">
        <v>14</v>
      </c>
      <c r="I1">
        <v>20</v>
      </c>
      <c r="J1">
        <v>30</v>
      </c>
      <c r="K1">
        <v>40</v>
      </c>
      <c r="L1">
        <v>60</v>
      </c>
      <c r="M1">
        <v>80</v>
      </c>
    </row>
    <row r="2" spans="1:13" x14ac:dyDescent="0.25">
      <c r="B2" t="s">
        <v>1</v>
      </c>
      <c r="D2">
        <f>D1*0.394</f>
        <v>1.9700000000000002</v>
      </c>
      <c r="E2">
        <f t="shared" ref="E2:M2" si="0">E1*0.394</f>
        <v>2.3639999999999999</v>
      </c>
      <c r="F2">
        <f t="shared" si="0"/>
        <v>3.1520000000000001</v>
      </c>
      <c r="G2">
        <f t="shared" si="0"/>
        <v>3.9400000000000004</v>
      </c>
      <c r="H2">
        <f t="shared" si="0"/>
        <v>5.516</v>
      </c>
      <c r="I2">
        <f t="shared" si="0"/>
        <v>7.8800000000000008</v>
      </c>
      <c r="J2">
        <f t="shared" si="0"/>
        <v>11.82</v>
      </c>
      <c r="K2">
        <f t="shared" si="0"/>
        <v>15.760000000000002</v>
      </c>
      <c r="L2">
        <f t="shared" si="0"/>
        <v>23.64</v>
      </c>
      <c r="M2">
        <f t="shared" si="0"/>
        <v>31.520000000000003</v>
      </c>
    </row>
    <row r="3" spans="1:13" x14ac:dyDescent="0.25">
      <c r="A3" t="s">
        <v>3</v>
      </c>
      <c r="B3">
        <v>1</v>
      </c>
      <c r="E3">
        <v>949</v>
      </c>
      <c r="F3">
        <v>884</v>
      </c>
      <c r="G3">
        <v>767</v>
      </c>
      <c r="H3">
        <v>550</v>
      </c>
      <c r="I3">
        <v>403</v>
      </c>
      <c r="J3">
        <v>276</v>
      </c>
      <c r="K3">
        <v>220</v>
      </c>
      <c r="L3">
        <v>155</v>
      </c>
      <c r="M3">
        <v>122</v>
      </c>
    </row>
    <row r="4" spans="1:13" x14ac:dyDescent="0.25">
      <c r="B4">
        <v>2</v>
      </c>
      <c r="E4">
        <v>950</v>
      </c>
      <c r="F4">
        <v>885</v>
      </c>
      <c r="G4">
        <v>742</v>
      </c>
      <c r="H4">
        <v>550</v>
      </c>
      <c r="I4">
        <v>403</v>
      </c>
      <c r="J4">
        <v>276</v>
      </c>
      <c r="K4">
        <v>221</v>
      </c>
      <c r="L4">
        <v>154</v>
      </c>
      <c r="M4">
        <v>121</v>
      </c>
    </row>
    <row r="5" spans="1:13" x14ac:dyDescent="0.25">
      <c r="B5">
        <v>3</v>
      </c>
      <c r="E5">
        <v>951</v>
      </c>
      <c r="F5">
        <v>886</v>
      </c>
      <c r="G5">
        <v>739</v>
      </c>
      <c r="H5">
        <v>549</v>
      </c>
      <c r="I5">
        <v>402</v>
      </c>
      <c r="J5">
        <v>277</v>
      </c>
      <c r="K5">
        <v>222</v>
      </c>
      <c r="L5">
        <v>155</v>
      </c>
      <c r="M5">
        <v>123</v>
      </c>
    </row>
    <row r="6" spans="1:13" x14ac:dyDescent="0.25">
      <c r="B6">
        <v>4</v>
      </c>
      <c r="E6">
        <v>950</v>
      </c>
      <c r="F6">
        <v>885</v>
      </c>
      <c r="G6">
        <v>735</v>
      </c>
      <c r="H6">
        <v>550</v>
      </c>
      <c r="I6">
        <v>403</v>
      </c>
      <c r="J6">
        <v>278</v>
      </c>
      <c r="K6">
        <v>221</v>
      </c>
      <c r="L6">
        <v>156</v>
      </c>
      <c r="M6">
        <v>122</v>
      </c>
    </row>
    <row r="7" spans="1:13" x14ac:dyDescent="0.25">
      <c r="B7">
        <v>5</v>
      </c>
      <c r="E7">
        <v>950</v>
      </c>
      <c r="F7">
        <v>885</v>
      </c>
      <c r="G7">
        <v>758</v>
      </c>
      <c r="H7">
        <v>551</v>
      </c>
      <c r="I7">
        <v>404</v>
      </c>
      <c r="J7">
        <v>276</v>
      </c>
      <c r="K7">
        <v>221</v>
      </c>
      <c r="L7">
        <v>155</v>
      </c>
      <c r="M7">
        <v>122</v>
      </c>
    </row>
    <row r="8" spans="1:13" x14ac:dyDescent="0.25">
      <c r="B8" t="s">
        <v>2</v>
      </c>
      <c r="C8">
        <v>1156.2</v>
      </c>
      <c r="D8" t="e">
        <f>AVERAGE(D3:D7)</f>
        <v>#DIV/0!</v>
      </c>
      <c r="E8">
        <f t="shared" ref="E8:M8" si="1">AVERAGE(E3:E7)</f>
        <v>950</v>
      </c>
      <c r="F8">
        <f t="shared" si="1"/>
        <v>885</v>
      </c>
      <c r="G8">
        <f t="shared" si="1"/>
        <v>748.2</v>
      </c>
      <c r="H8">
        <f t="shared" si="1"/>
        <v>550</v>
      </c>
      <c r="I8">
        <f t="shared" si="1"/>
        <v>403</v>
      </c>
      <c r="J8">
        <f t="shared" si="1"/>
        <v>276.60000000000002</v>
      </c>
      <c r="K8">
        <f t="shared" si="1"/>
        <v>221</v>
      </c>
      <c r="L8">
        <f t="shared" si="1"/>
        <v>155</v>
      </c>
      <c r="M8">
        <f t="shared" si="1"/>
        <v>122</v>
      </c>
    </row>
    <row r="10" spans="1:13" x14ac:dyDescent="0.25">
      <c r="A10" t="s">
        <v>4</v>
      </c>
      <c r="B10">
        <v>1</v>
      </c>
      <c r="E10">
        <v>948</v>
      </c>
      <c r="F10">
        <v>865</v>
      </c>
      <c r="G10">
        <v>715</v>
      </c>
      <c r="H10">
        <v>536</v>
      </c>
      <c r="I10">
        <v>396</v>
      </c>
      <c r="J10">
        <v>274</v>
      </c>
      <c r="K10">
        <v>213</v>
      </c>
      <c r="L10">
        <v>148</v>
      </c>
      <c r="M10">
        <v>124</v>
      </c>
    </row>
    <row r="11" spans="1:13" x14ac:dyDescent="0.25">
      <c r="B11">
        <v>2</v>
      </c>
      <c r="E11">
        <v>949</v>
      </c>
      <c r="F11">
        <v>870</v>
      </c>
      <c r="G11">
        <v>736</v>
      </c>
      <c r="H11">
        <v>536</v>
      </c>
      <c r="I11">
        <v>396</v>
      </c>
      <c r="J11">
        <v>274</v>
      </c>
      <c r="K11">
        <v>213</v>
      </c>
      <c r="L11">
        <v>149</v>
      </c>
      <c r="M11">
        <v>130</v>
      </c>
    </row>
    <row r="12" spans="1:13" x14ac:dyDescent="0.25">
      <c r="B12">
        <v>3</v>
      </c>
      <c r="E12">
        <v>950</v>
      </c>
      <c r="F12">
        <v>867</v>
      </c>
      <c r="G12">
        <v>717</v>
      </c>
      <c r="H12">
        <v>536</v>
      </c>
      <c r="I12">
        <v>394</v>
      </c>
      <c r="J12">
        <v>273</v>
      </c>
      <c r="K12">
        <v>213</v>
      </c>
      <c r="L12">
        <v>150</v>
      </c>
      <c r="M12">
        <v>115</v>
      </c>
    </row>
    <row r="13" spans="1:13" x14ac:dyDescent="0.25">
      <c r="B13">
        <v>4</v>
      </c>
      <c r="E13">
        <v>952</v>
      </c>
      <c r="F13">
        <v>867</v>
      </c>
      <c r="G13">
        <v>725</v>
      </c>
      <c r="H13">
        <v>536</v>
      </c>
      <c r="I13">
        <v>395</v>
      </c>
      <c r="J13">
        <v>274</v>
      </c>
      <c r="K13">
        <v>214</v>
      </c>
      <c r="L13">
        <v>151</v>
      </c>
      <c r="M13">
        <v>121</v>
      </c>
    </row>
    <row r="14" spans="1:13" x14ac:dyDescent="0.25">
      <c r="B14">
        <v>5</v>
      </c>
      <c r="E14">
        <v>951</v>
      </c>
      <c r="F14">
        <v>865</v>
      </c>
      <c r="G14">
        <v>715</v>
      </c>
      <c r="H14">
        <v>536</v>
      </c>
      <c r="I14">
        <v>396</v>
      </c>
      <c r="J14">
        <v>275</v>
      </c>
      <c r="K14">
        <v>212</v>
      </c>
      <c r="L14">
        <v>152</v>
      </c>
      <c r="M14">
        <v>117</v>
      </c>
    </row>
    <row r="15" spans="1:13" x14ac:dyDescent="0.25">
      <c r="B15" t="s">
        <v>2</v>
      </c>
      <c r="D15" t="e">
        <f>AVERAGE(D10:D14)</f>
        <v>#DIV/0!</v>
      </c>
      <c r="E15">
        <f t="shared" ref="E15:M15" si="2">AVERAGE(E10:E14)</f>
        <v>950</v>
      </c>
      <c r="F15">
        <f t="shared" si="2"/>
        <v>866.8</v>
      </c>
      <c r="G15">
        <f t="shared" si="2"/>
        <v>721.6</v>
      </c>
      <c r="H15">
        <f t="shared" si="2"/>
        <v>536</v>
      </c>
      <c r="I15">
        <f t="shared" si="2"/>
        <v>395.4</v>
      </c>
      <c r="J15">
        <f t="shared" si="2"/>
        <v>274</v>
      </c>
      <c r="K15">
        <f t="shared" si="2"/>
        <v>213</v>
      </c>
      <c r="L15">
        <f t="shared" si="2"/>
        <v>150</v>
      </c>
      <c r="M15">
        <f t="shared" si="2"/>
        <v>121.4</v>
      </c>
    </row>
    <row r="17" spans="1:13" x14ac:dyDescent="0.25">
      <c r="A17" t="s">
        <v>5</v>
      </c>
      <c r="E17">
        <f>1/E1</f>
        <v>0.16666666666666666</v>
      </c>
      <c r="F17">
        <f t="shared" ref="F17:M17" si="3">1/F1</f>
        <v>0.125</v>
      </c>
      <c r="G17">
        <f t="shared" si="3"/>
        <v>0.1</v>
      </c>
      <c r="H17">
        <f t="shared" si="3"/>
        <v>7.1428571428571425E-2</v>
      </c>
      <c r="I17">
        <f t="shared" si="3"/>
        <v>0.05</v>
      </c>
      <c r="J17">
        <f t="shared" si="3"/>
        <v>3.3333333333333333E-2</v>
      </c>
      <c r="K17">
        <f t="shared" si="3"/>
        <v>2.5000000000000001E-2</v>
      </c>
      <c r="L17">
        <f t="shared" si="3"/>
        <v>1.6666666666666666E-2</v>
      </c>
      <c r="M17">
        <f t="shared" si="3"/>
        <v>1.2500000000000001E-2</v>
      </c>
    </row>
    <row r="19" spans="1:13" x14ac:dyDescent="0.25">
      <c r="A19" t="s">
        <v>6</v>
      </c>
      <c r="B19">
        <f>1/6</f>
        <v>0.16666666666666666</v>
      </c>
      <c r="C19">
        <f>1/8</f>
        <v>0.125</v>
      </c>
      <c r="D19">
        <f>1/80</f>
        <v>1.2500000000000001E-2</v>
      </c>
    </row>
    <row r="20" spans="1:13" x14ac:dyDescent="0.25">
      <c r="A20" t="s">
        <v>7</v>
      </c>
      <c r="B20">
        <v>950</v>
      </c>
      <c r="C20">
        <v>885</v>
      </c>
      <c r="D20">
        <v>122</v>
      </c>
    </row>
    <row r="21" spans="1:13" x14ac:dyDescent="0.25">
      <c r="A21" t="s">
        <v>8</v>
      </c>
      <c r="B21">
        <v>950</v>
      </c>
      <c r="C21">
        <v>866.8</v>
      </c>
      <c r="D21">
        <v>121.4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Distance Chart</vt:lpstr>
      <vt:lpstr>Inverse Distance Chart</vt:lpstr>
    </vt:vector>
  </TitlesOfParts>
  <Company>University of Oklahoma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Burcham</dc:creator>
  <cp:lastModifiedBy>Blake Herren</cp:lastModifiedBy>
  <dcterms:created xsi:type="dcterms:W3CDTF">2017-02-16T19:13:39Z</dcterms:created>
  <dcterms:modified xsi:type="dcterms:W3CDTF">2017-02-23T00:36:11Z</dcterms:modified>
</cp:coreProperties>
</file>